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bigmac/Desktop/"/>
    </mc:Choice>
  </mc:AlternateContent>
  <xr:revisionPtr revIDLastSave="0" documentId="8_{51E19564-43E8-9A4C-BF88-7088D39F2C01}" xr6:coauthVersionLast="47" xr6:coauthVersionMax="47" xr10:uidLastSave="{00000000-0000-0000-0000-000000000000}"/>
  <bookViews>
    <workbookView xWindow="0" yWindow="660" windowWidth="29400" windowHeight="18460" xr2:uid="{F3947292-D65B-4449-AB92-73BCE76228E7}"/>
  </bookViews>
  <sheets>
    <sheet name="Boli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G2" i="1"/>
  <c r="C6" i="1"/>
  <c r="D24" i="1"/>
  <c r="E24" i="1"/>
  <c r="F24" i="1"/>
  <c r="G24" i="1"/>
  <c r="H24" i="1"/>
  <c r="I24" i="1"/>
  <c r="J24" i="1"/>
  <c r="K24" i="1"/>
  <c r="L24" i="1"/>
  <c r="M24" i="1"/>
  <c r="N24" i="1"/>
  <c r="C24" i="1"/>
  <c r="D21" i="1"/>
  <c r="E21" i="1"/>
  <c r="F21" i="1"/>
  <c r="G21" i="1"/>
  <c r="H21" i="1"/>
  <c r="I21" i="1"/>
  <c r="J21" i="1"/>
  <c r="K21" i="1"/>
  <c r="L21" i="1"/>
  <c r="M21" i="1"/>
  <c r="N21" i="1"/>
  <c r="C21" i="1"/>
  <c r="N22" i="1"/>
  <c r="M22" i="1"/>
  <c r="L22" i="1"/>
  <c r="K22" i="1"/>
  <c r="J22" i="1"/>
  <c r="I22" i="1"/>
  <c r="H22" i="1"/>
  <c r="G22" i="1"/>
  <c r="F22" i="1"/>
  <c r="E22" i="1"/>
  <c r="D22" i="1"/>
  <c r="C22" i="1"/>
  <c r="O22" i="1" s="1"/>
  <c r="C20" i="1"/>
  <c r="O20" i="1" s="1"/>
  <c r="N19" i="1"/>
  <c r="M19" i="1"/>
  <c r="L19" i="1"/>
  <c r="K19" i="1"/>
  <c r="J19" i="1"/>
  <c r="I19" i="1"/>
  <c r="H19" i="1"/>
  <c r="G19" i="1"/>
  <c r="F19" i="1"/>
  <c r="E19" i="1"/>
  <c r="D19" i="1"/>
  <c r="C19" i="1"/>
  <c r="K8" i="1"/>
  <c r="N23" i="1" l="1"/>
  <c r="C23" i="1"/>
  <c r="O19" i="1"/>
  <c r="I18" i="1"/>
  <c r="I23" i="1"/>
  <c r="I25" i="1" s="1"/>
  <c r="C18" i="1"/>
  <c r="C25" i="1" s="1"/>
  <c r="M18" i="1"/>
  <c r="E18" i="1"/>
  <c r="K18" i="1"/>
  <c r="J18" i="1"/>
  <c r="G23" i="1"/>
  <c r="H23" i="1"/>
  <c r="O21" i="1"/>
  <c r="G14" i="1"/>
  <c r="C26" i="1"/>
  <c r="D18" i="1"/>
  <c r="L18" i="1"/>
  <c r="J23" i="1"/>
  <c r="J25" i="1" s="1"/>
  <c r="O24" i="1"/>
  <c r="K23" i="1"/>
  <c r="F18" i="1"/>
  <c r="N18" i="1"/>
  <c r="D23" i="1"/>
  <c r="L23" i="1"/>
  <c r="G18" i="1"/>
  <c r="E23" i="1"/>
  <c r="M23" i="1"/>
  <c r="H18" i="1"/>
  <c r="F23" i="1"/>
  <c r="N25" i="1" l="1"/>
  <c r="K25" i="1"/>
  <c r="E25" i="1"/>
  <c r="H25" i="1"/>
  <c r="M25" i="1"/>
  <c r="O18" i="1"/>
  <c r="K12" i="1" s="1"/>
  <c r="G25" i="1"/>
  <c r="C27" i="1"/>
  <c r="C29" i="1" s="1"/>
  <c r="F25" i="1"/>
  <c r="D26" i="1"/>
  <c r="E26" i="1" s="1"/>
  <c r="F26" i="1" s="1"/>
  <c r="G26" i="1" s="1"/>
  <c r="H26" i="1" s="1"/>
  <c r="I26" i="1" s="1"/>
  <c r="O23" i="1"/>
  <c r="O25" i="1" s="1"/>
  <c r="L25" i="1"/>
  <c r="D25" i="1"/>
  <c r="E27" i="1" l="1"/>
  <c r="E29" i="1" s="1"/>
  <c r="K13" i="1"/>
  <c r="K11" i="1"/>
  <c r="H27" i="1"/>
  <c r="H29" i="1" s="1"/>
  <c r="F27" i="1"/>
  <c r="F29" i="1" s="1"/>
  <c r="D27" i="1"/>
  <c r="D29" i="1" s="1"/>
  <c r="J26" i="1"/>
  <c r="I27" i="1"/>
  <c r="I29" i="1" s="1"/>
  <c r="G27" i="1"/>
  <c r="G29" i="1" s="1"/>
  <c r="K26" i="1" l="1"/>
  <c r="J27" i="1"/>
  <c r="J29" i="1" s="1"/>
  <c r="L26" i="1" l="1"/>
  <c r="K27" i="1"/>
  <c r="K29" i="1" s="1"/>
  <c r="M26" i="1" l="1"/>
  <c r="L27" i="1"/>
  <c r="L29" i="1" s="1"/>
  <c r="N26" i="1" l="1"/>
  <c r="N27" i="1" s="1"/>
  <c r="N29" i="1" s="1"/>
  <c r="M27" i="1"/>
  <c r="M29" i="1" s="1"/>
  <c r="O26" i="1" l="1"/>
  <c r="O27" i="1" s="1"/>
  <c r="O29" i="1" s="1"/>
  <c r="K15" i="1" l="1"/>
  <c r="K14" i="1"/>
</calcChain>
</file>

<file path=xl/sharedStrings.xml><?xml version="1.0" encoding="utf-8"?>
<sst xmlns="http://schemas.openxmlformats.org/spreadsheetml/2006/main" count="54" uniqueCount="50">
  <si>
    <t>Kjøpesum</t>
  </si>
  <si>
    <t>Lånesum</t>
  </si>
  <si>
    <t>Markedsverdi</t>
  </si>
  <si>
    <t>Avdrag</t>
  </si>
  <si>
    <t>Dokumentavgift</t>
  </si>
  <si>
    <t>Transaksjonskostnader</t>
  </si>
  <si>
    <t>Egenkapital</t>
  </si>
  <si>
    <t>Sum kjøpesum</t>
  </si>
  <si>
    <t>TV og nett, pr. mnd</t>
  </si>
  <si>
    <t>Rentenivå</t>
  </si>
  <si>
    <t>Oppstartskostnad</t>
  </si>
  <si>
    <t>Strøm i kwt, årlig</t>
  </si>
  <si>
    <t>Ombyggingskostnad</t>
  </si>
  <si>
    <t>Strøm i kr. Pr. mnd</t>
  </si>
  <si>
    <t>Forsikring</t>
  </si>
  <si>
    <t>Energiklasse</t>
  </si>
  <si>
    <t>Eiendomsskatt</t>
  </si>
  <si>
    <t>Kommunale avgifter</t>
  </si>
  <si>
    <t>Yield, fri kontantstrøm</t>
  </si>
  <si>
    <t>Yield, leieinntekt</t>
  </si>
  <si>
    <t>Månedsleie</t>
  </si>
  <si>
    <t>P-rom/BRA/BTA</t>
  </si>
  <si>
    <t>Yield, kontantstrøm før renter</t>
  </si>
  <si>
    <t>LTV</t>
  </si>
  <si>
    <t>Yield, kontantstrøm etter renter</t>
  </si>
  <si>
    <t>Vedlikeholdskostnad</t>
  </si>
  <si>
    <t>Yield, egenkapital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</si>
  <si>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</si>
  <si>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</si>
  <si>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</si>
  <si>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</si>
  <si>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</si>
  <si>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</si>
  <si>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</si>
  <si>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</si>
  <si>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</si>
  <si>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</si>
  <si>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</si>
  <si>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DES</t>
  </si>
  <si>
    <t>ÅR</t>
  </si>
  <si>
    <t>Husleieinntekt</t>
  </si>
  <si>
    <t>TV og Nett</t>
  </si>
  <si>
    <t>Strømkostnader</t>
  </si>
  <si>
    <t>Felleskostnader</t>
  </si>
  <si>
    <t>Brutto Kontantstrøm før renter og avdrag</t>
  </si>
  <si>
    <t>Rentekostnader</t>
  </si>
  <si>
    <t>Brutto Kontantstrøm etter renter</t>
  </si>
  <si>
    <t>Nto Kontantstrøm etter renter og avdrag</t>
  </si>
  <si>
    <t>Sameiekostnader, pr. Måned</t>
  </si>
  <si>
    <t>Klæbuveien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</si>
</sst>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 * #,##0.00_ ;_ * \-#,##0.00_ ;_ * &quot;-&quot;??_ ;_ @_ "/>
    <numFmt numFmtId="166" formatCode="&quot;kr&quot;\ #,##0.00;[Red]&quot;kr&quot;\ \-#,##0.00"/>
    <numFmt numFmtId="167" formatCode="0.0\ 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165" fontId="0" fillId="2" borderId="0" xfId="1" applyFont="1" applyFill="1"/>
    <xf numFmtId="165" fontId="0" fillId="0" borderId="0" xfId="0" applyNumberFormat="1"/>
    <xf numFmtId="165" fontId="0" fillId="0" borderId="0" xfId="1" applyFont="1"/>
    <xf numFmtId="166" fontId="0" fillId="0" borderId="0" xfId="0" applyNumberFormat="1"/>
    <xf numFmtId="167" fontId="0" fillId="0" borderId="0" xfId="2" applyNumberFormat="1" applyFont="1"/>
    <xf numFmtId="165" fontId="0" fillId="2" borderId="0" xfId="0" applyNumberFormat="1" applyFill="1"/>
    <xf numFmtId="164" fontId="0" fillId="0" borderId="0" xfId="0" applyNumberFormat="1"/>
    <xf numFmtId="167" fontId="0" fillId="2" borderId="0" xfId="2" applyNumberFormat="1" applyFont="1" applyFill="1"/>
    <xf numFmtId="10" fontId="0" fillId="0" borderId="0" xfId="2" applyNumberFormat="1" applyFont="1"/>
    <xf numFmtId="0" fontId="0" fillId="2" borderId="0" xfId="0" applyFill="1"/>
    <xf numFmtId="0" fontId="2" fillId="0" borderId="15" xfId="0" applyFont="1" applyBorder="1" applyAlignment="1">
      <alignment horizontal="center"/>
    </xf>
    <xf numFmtId="0" fontId="2" fillId="0" borderId="17" xfId="0" applyFont="1" applyBorder="1"/>
    <xf numFmtId="165" fontId="2" fillId="0" borderId="17" xfId="0" applyNumberFormat="1" applyFont="1" applyBorder="1"/>
    <xf numFmtId="165" fontId="3" fillId="3" borderId="1" xfId="0" applyNumberFormat="1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165" fontId="3" fillId="3" borderId="3" xfId="0" applyNumberFormat="1" applyFont="1" applyFill="1" applyBorder="1" applyAlignment="1">
      <alignment horizontal="center" vertical="center"/>
    </xf>
    <xf numFmtId="165" fontId="3" fillId="3" borderId="4" xfId="0" applyNumberFormat="1" applyFont="1" applyFill="1" applyBorder="1" applyAlignment="1">
      <alignment horizontal="center" vertical="center"/>
    </xf>
    <xf numFmtId="165" fontId="3" fillId="3" borderId="0" xfId="0" applyNumberFormat="1" applyFont="1" applyFill="1" applyAlignment="1">
      <alignment horizontal="center" vertical="center"/>
    </xf>
    <xf numFmtId="165" fontId="3" fillId="3" borderId="5" xfId="0" applyNumberFormat="1" applyFont="1" applyFill="1" applyBorder="1" applyAlignment="1">
      <alignment horizontal="center" vertical="center"/>
    </xf>
    <xf numFmtId="165" fontId="3" fillId="3" borderId="6" xfId="0" applyNumberFormat="1" applyFont="1" applyFill="1" applyBorder="1" applyAlignment="1">
      <alignment horizontal="center" vertical="center"/>
    </xf>
    <xf numFmtId="165" fontId="3" fillId="3" borderId="7" xfId="0" applyNumberFormat="1" applyFont="1" applyFill="1" applyBorder="1" applyAlignment="1">
      <alignment horizontal="center" vertical="center"/>
    </xf>
    <xf numFmtId="165" fontId="3" fillId="3" borderId="8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3">
    <cellStyle name="Komma" xfId="1" builtinId="3"/>
    <cellStyle name="Normal" xfId="0" builtinId="0"/>
    <cellStyle name="Pros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BE92D-C87A-42AB-BA90-597E2133FA49}">
  <sheetPr>
    <tabColor rgb="FF00B050"/>
  </sheetPr>
  <dimension ref="B1:Q33"/>
  <sheetViews>
    <sheetView showGridLines="0" tabSelected="1" zoomScaleNormal="80" workbookViewId="0">
      <selection activeCell="D13" sqref="D13"/>
    </sheetView>
  </sheetViews>
  <sheetFormatPr baseColWidth="10" defaultColWidth="11.5" defaultRowHeight="15" x14ac:dyDescent="0.2"/>
  <cols>
    <col min="1" max="1" width="4.33203125" customWidth="1"/>
    <col min="2" max="2" width="38.5" bestFit="1" customWidth="1"/>
    <col min="3" max="15" width="14.5" customWidth="1"/>
  </cols>
  <sheetData>
    <row r="1" spans="2:15" ht="16" thickBot="1" x14ac:dyDescent="0.25"/>
    <row r="2" spans="2:15" x14ac:dyDescent="0.2">
      <c r="B2" s="1" t="s">
        <v>0</v>
      </c>
      <c r="C2" s="2">
        <v>3790000</v>
      </c>
      <c r="E2" s="1" t="s">
        <v>1</v>
      </c>
      <c r="G2" s="3">
        <f>+C6-G5</f>
        <v>3281342</v>
      </c>
      <c r="K2" s="15" t="s">
        <v>49</v>
      </c>
      <c r="L2" s="16"/>
      <c r="M2" s="16"/>
      <c r="N2" s="16"/>
      <c r="O2" s="17"/>
    </row>
    <row r="3" spans="2:15" x14ac:dyDescent="0.2">
      <c r="B3" s="1" t="s">
        <v>2</v>
      </c>
      <c r="C3" s="4">
        <v>0</v>
      </c>
      <c r="E3" s="1" t="s">
        <v>3</v>
      </c>
      <c r="G3" s="5"/>
      <c r="K3" s="18"/>
      <c r="L3" s="19"/>
      <c r="M3" s="19"/>
      <c r="N3" s="19"/>
      <c r="O3" s="20"/>
    </row>
    <row r="4" spans="2:15" ht="16" thickBot="1" x14ac:dyDescent="0.25">
      <c r="B4" s="1" t="s">
        <v>4</v>
      </c>
      <c r="C4" s="6"/>
      <c r="E4" s="1"/>
      <c r="K4" s="21"/>
      <c r="L4" s="22"/>
      <c r="M4" s="22"/>
      <c r="N4" s="22"/>
      <c r="O4" s="23"/>
    </row>
    <row r="5" spans="2:15" x14ac:dyDescent="0.2">
      <c r="B5" s="1" t="s">
        <v>5</v>
      </c>
      <c r="C5" s="2">
        <v>1342</v>
      </c>
      <c r="E5" s="1" t="s">
        <v>6</v>
      </c>
      <c r="G5" s="7">
        <v>510000</v>
      </c>
      <c r="K5" s="3"/>
    </row>
    <row r="6" spans="2:15" x14ac:dyDescent="0.2">
      <c r="B6" s="1" t="s">
        <v>7</v>
      </c>
      <c r="C6" s="8">
        <f>+C2+(C2*C4)+C5+G7+G8</f>
        <v>3791342</v>
      </c>
      <c r="E6" s="1"/>
      <c r="I6" s="1" t="s">
        <v>8</v>
      </c>
      <c r="K6" s="2">
        <v>800</v>
      </c>
    </row>
    <row r="7" spans="2:15" x14ac:dyDescent="0.2">
      <c r="B7" s="1" t="s">
        <v>9</v>
      </c>
      <c r="C7" s="9">
        <v>5.0500000000000003E-2</v>
      </c>
      <c r="E7" s="1" t="s">
        <v>10</v>
      </c>
      <c r="G7" s="2"/>
      <c r="I7" s="1" t="s">
        <v>11</v>
      </c>
      <c r="K7" s="2"/>
      <c r="M7" s="24"/>
      <c r="N7" s="25"/>
      <c r="O7" s="26"/>
    </row>
    <row r="8" spans="2:15" x14ac:dyDescent="0.2">
      <c r="B8" s="1"/>
      <c r="E8" s="1" t="s">
        <v>12</v>
      </c>
      <c r="G8" s="2">
        <v>0</v>
      </c>
      <c r="I8" s="1" t="s">
        <v>13</v>
      </c>
      <c r="K8" s="2">
        <f>1375*1</f>
        <v>1375</v>
      </c>
      <c r="M8" s="27"/>
      <c r="N8" s="28"/>
      <c r="O8" s="29"/>
    </row>
    <row r="9" spans="2:15" x14ac:dyDescent="0.2">
      <c r="B9" s="1"/>
      <c r="C9" s="2"/>
      <c r="E9" s="1" t="s">
        <v>14</v>
      </c>
      <c r="G9" s="2">
        <v>150</v>
      </c>
      <c r="I9" s="1" t="s">
        <v>15</v>
      </c>
      <c r="M9" s="27"/>
      <c r="N9" s="28"/>
      <c r="O9" s="29"/>
    </row>
    <row r="10" spans="2:15" x14ac:dyDescent="0.2">
      <c r="B10" s="1"/>
      <c r="C10" s="2"/>
      <c r="E10" s="1" t="s">
        <v>16</v>
      </c>
      <c r="G10" s="2"/>
      <c r="M10" s="27"/>
      <c r="N10" s="28"/>
      <c r="O10" s="29"/>
    </row>
    <row r="11" spans="2:15" x14ac:dyDescent="0.2">
      <c r="B11" s="1"/>
      <c r="E11" s="1" t="s">
        <v>17</v>
      </c>
      <c r="G11" s="2"/>
      <c r="I11" s="1" t="s">
        <v>18</v>
      </c>
      <c r="K11" s="10">
        <f>+O25/O18</f>
        <v>0.68131677018633541</v>
      </c>
      <c r="M11" s="27"/>
      <c r="N11" s="28"/>
      <c r="O11" s="29"/>
    </row>
    <row r="12" spans="2:15" x14ac:dyDescent="0.2">
      <c r="B12" s="1"/>
      <c r="C12" s="2"/>
      <c r="E12" s="1" t="s">
        <v>48</v>
      </c>
      <c r="G12" s="2">
        <v>3176</v>
      </c>
      <c r="I12" s="1" t="s">
        <v>19</v>
      </c>
      <c r="K12" s="10">
        <f>+O18/C6</f>
        <v>6.3697761900667366E-2</v>
      </c>
      <c r="M12" s="27"/>
      <c r="N12" s="28"/>
      <c r="O12" s="29"/>
    </row>
    <row r="13" spans="2:15" x14ac:dyDescent="0.2">
      <c r="B13" s="1" t="s">
        <v>20</v>
      </c>
      <c r="C13" s="2">
        <f>21000</f>
        <v>21000</v>
      </c>
      <c r="E13" s="1" t="s">
        <v>21</v>
      </c>
      <c r="G13" s="11"/>
      <c r="I13" s="1" t="s">
        <v>22</v>
      </c>
      <c r="K13" s="10">
        <f>+O25/C6</f>
        <v>4.3398353406260894E-2</v>
      </c>
      <c r="M13" s="27"/>
      <c r="N13" s="28"/>
      <c r="O13" s="29"/>
    </row>
    <row r="14" spans="2:15" x14ac:dyDescent="0.2">
      <c r="B14" s="1"/>
      <c r="E14" s="1" t="s">
        <v>23</v>
      </c>
      <c r="G14" s="9">
        <f>+G2/C2</f>
        <v>0.86578944591029028</v>
      </c>
      <c r="I14" s="1" t="s">
        <v>24</v>
      </c>
      <c r="K14" s="10">
        <f>+O27/C6</f>
        <v>-3.0853745191017004E-4</v>
      </c>
      <c r="M14" s="27"/>
      <c r="N14" s="28"/>
      <c r="O14" s="29"/>
    </row>
    <row r="15" spans="2:15" x14ac:dyDescent="0.2">
      <c r="B15" s="1" t="s">
        <v>25</v>
      </c>
      <c r="C15" s="6">
        <v>0.05</v>
      </c>
      <c r="E15" s="1"/>
      <c r="I15" s="1" t="s">
        <v>26</v>
      </c>
      <c r="K15" s="10">
        <f>+O27/G5</f>
        <v>-2.2936686274509961E-3</v>
      </c>
      <c r="M15" s="30"/>
      <c r="N15" s="31"/>
      <c r="O15" s="32"/>
    </row>
    <row r="17" spans="2:17" x14ac:dyDescent="0.2">
      <c r="B17" s="12"/>
      <c r="C17" s="12" t="s">
        <v>27</v>
      </c>
      <c r="D17" s="12" t="s">
        <v>28</v>
      </c>
      <c r="E17" s="12" t="s">
        <v>29</v>
      </c>
      <c r="F17" s="12" t="s">
        <v>30</v>
      </c>
      <c r="G17" s="12" t="s">
        <v>31</v>
      </c>
      <c r="H17" s="12" t="s">
        <v>32</v>
      </c>
      <c r="I17" s="12" t="s">
        <v>33</v>
      </c>
      <c r="J17" s="12" t="s">
        <v>34</v>
      </c>
      <c r="K17" s="12" t="s">
        <v>35</v>
      </c>
      <c r="L17" s="12" t="s">
        <v>36</v>
      </c>
      <c r="M17" s="12" t="s">
        <v>37</v>
      </c>
      <c r="N17" s="12" t="s">
        <v>38</v>
      </c>
      <c r="O17" s="12" t="s">
        <v>39</v>
      </c>
      <c r="Q17" s="4"/>
    </row>
    <row r="18" spans="2:17" x14ac:dyDescent="0.2">
      <c r="B18" t="s">
        <v>40</v>
      </c>
      <c r="C18" s="3">
        <f>+$C$13</f>
        <v>21000</v>
      </c>
      <c r="D18" s="3">
        <f t="shared" ref="D18:N18" si="0">+$C$13</f>
        <v>21000</v>
      </c>
      <c r="E18" s="3">
        <f t="shared" si="0"/>
        <v>21000</v>
      </c>
      <c r="F18" s="3">
        <f t="shared" si="0"/>
        <v>21000</v>
      </c>
      <c r="G18" s="3">
        <f t="shared" si="0"/>
        <v>21000</v>
      </c>
      <c r="H18" s="3">
        <f t="shared" si="0"/>
        <v>21000</v>
      </c>
      <c r="I18" s="3">
        <f>+$C$13/2</f>
        <v>10500</v>
      </c>
      <c r="J18" s="3">
        <f t="shared" si="0"/>
        <v>21000</v>
      </c>
      <c r="K18" s="3">
        <f t="shared" si="0"/>
        <v>21000</v>
      </c>
      <c r="L18" s="3">
        <f t="shared" si="0"/>
        <v>21000</v>
      </c>
      <c r="M18" s="3">
        <f t="shared" si="0"/>
        <v>21000</v>
      </c>
      <c r="N18" s="3">
        <f t="shared" si="0"/>
        <v>21000</v>
      </c>
      <c r="O18" s="3">
        <f t="shared" ref="O18:O24" si="1">+SUM(C18:N18)</f>
        <v>241500</v>
      </c>
      <c r="Q18" s="4"/>
    </row>
    <row r="19" spans="2:17" x14ac:dyDescent="0.2">
      <c r="B19" t="s">
        <v>41</v>
      </c>
      <c r="C19" s="3">
        <f t="shared" ref="C19:N19" si="2">-$K$6</f>
        <v>-800</v>
      </c>
      <c r="D19" s="3">
        <f t="shared" si="2"/>
        <v>-800</v>
      </c>
      <c r="E19" s="3">
        <f t="shared" si="2"/>
        <v>-800</v>
      </c>
      <c r="F19" s="3">
        <f t="shared" si="2"/>
        <v>-800</v>
      </c>
      <c r="G19" s="3">
        <f t="shared" si="2"/>
        <v>-800</v>
      </c>
      <c r="H19" s="3">
        <f t="shared" si="2"/>
        <v>-800</v>
      </c>
      <c r="I19" s="3">
        <f t="shared" si="2"/>
        <v>-800</v>
      </c>
      <c r="J19" s="3">
        <f t="shared" si="2"/>
        <v>-800</v>
      </c>
      <c r="K19" s="3">
        <f t="shared" si="2"/>
        <v>-800</v>
      </c>
      <c r="L19" s="3">
        <f t="shared" si="2"/>
        <v>-800</v>
      </c>
      <c r="M19" s="3">
        <f t="shared" si="2"/>
        <v>-800</v>
      </c>
      <c r="N19" s="3">
        <f t="shared" si="2"/>
        <v>-800</v>
      </c>
      <c r="O19" s="3">
        <f>+SUM(C19:N19)</f>
        <v>-9600</v>
      </c>
      <c r="Q19" s="4"/>
    </row>
    <row r="20" spans="2:17" x14ac:dyDescent="0.2">
      <c r="B20" t="s">
        <v>14</v>
      </c>
      <c r="C20" s="3">
        <f>-G9</f>
        <v>-150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>
        <f t="shared" si="1"/>
        <v>-150</v>
      </c>
      <c r="Q20" s="4"/>
    </row>
    <row r="21" spans="2:17" x14ac:dyDescent="0.2">
      <c r="B21" t="s">
        <v>42</v>
      </c>
      <c r="C21" s="3">
        <f>-$K$8</f>
        <v>-1375</v>
      </c>
      <c r="D21" s="3">
        <f t="shared" ref="D21:N21" si="3">-$K$8</f>
        <v>-1375</v>
      </c>
      <c r="E21" s="3">
        <f t="shared" si="3"/>
        <v>-1375</v>
      </c>
      <c r="F21" s="3">
        <f t="shared" si="3"/>
        <v>-1375</v>
      </c>
      <c r="G21" s="3">
        <f t="shared" si="3"/>
        <v>-1375</v>
      </c>
      <c r="H21" s="3">
        <f t="shared" si="3"/>
        <v>-1375</v>
      </c>
      <c r="I21" s="3">
        <f t="shared" si="3"/>
        <v>-1375</v>
      </c>
      <c r="J21" s="3">
        <f t="shared" si="3"/>
        <v>-1375</v>
      </c>
      <c r="K21" s="3">
        <f t="shared" si="3"/>
        <v>-1375</v>
      </c>
      <c r="L21" s="3">
        <f t="shared" si="3"/>
        <v>-1375</v>
      </c>
      <c r="M21" s="3">
        <f t="shared" si="3"/>
        <v>-1375</v>
      </c>
      <c r="N21" s="3">
        <f t="shared" si="3"/>
        <v>-1375</v>
      </c>
      <c r="O21" s="3">
        <f t="shared" si="1"/>
        <v>-16500</v>
      </c>
      <c r="Q21" s="4"/>
    </row>
    <row r="22" spans="2:17" x14ac:dyDescent="0.2">
      <c r="B22" t="s">
        <v>17</v>
      </c>
      <c r="C22" s="3">
        <f>-$G$11/12</f>
        <v>0</v>
      </c>
      <c r="D22" s="3">
        <f t="shared" ref="D22:N22" si="4">-$G$11/12</f>
        <v>0</v>
      </c>
      <c r="E22" s="3">
        <f t="shared" si="4"/>
        <v>0</v>
      </c>
      <c r="F22" s="3">
        <f t="shared" si="4"/>
        <v>0</v>
      </c>
      <c r="G22" s="3">
        <f t="shared" si="4"/>
        <v>0</v>
      </c>
      <c r="H22" s="3">
        <f t="shared" si="4"/>
        <v>0</v>
      </c>
      <c r="I22" s="3">
        <f t="shared" si="4"/>
        <v>0</v>
      </c>
      <c r="J22" s="3">
        <f t="shared" si="4"/>
        <v>0</v>
      </c>
      <c r="K22" s="3">
        <f t="shared" si="4"/>
        <v>0</v>
      </c>
      <c r="L22" s="3">
        <f t="shared" si="4"/>
        <v>0</v>
      </c>
      <c r="M22" s="3">
        <f t="shared" si="4"/>
        <v>0</v>
      </c>
      <c r="N22" s="3">
        <f t="shared" si="4"/>
        <v>0</v>
      </c>
      <c r="O22" s="3">
        <f t="shared" si="1"/>
        <v>0</v>
      </c>
      <c r="Q22" s="4"/>
    </row>
    <row r="23" spans="2:17" x14ac:dyDescent="0.2">
      <c r="B23" t="s">
        <v>25</v>
      </c>
      <c r="C23" s="3">
        <f>-$C$15*$C$13</f>
        <v>-1050</v>
      </c>
      <c r="D23" s="3">
        <f t="shared" ref="D23:N23" si="5">-$C$15*$C$13</f>
        <v>-1050</v>
      </c>
      <c r="E23" s="3">
        <f t="shared" si="5"/>
        <v>-1050</v>
      </c>
      <c r="F23" s="3">
        <f t="shared" si="5"/>
        <v>-1050</v>
      </c>
      <c r="G23" s="3">
        <f t="shared" si="5"/>
        <v>-1050</v>
      </c>
      <c r="H23" s="3">
        <f t="shared" si="5"/>
        <v>-1050</v>
      </c>
      <c r="I23" s="3">
        <f t="shared" si="5"/>
        <v>-1050</v>
      </c>
      <c r="J23" s="3">
        <f t="shared" si="5"/>
        <v>-1050</v>
      </c>
      <c r="K23" s="3">
        <f t="shared" si="5"/>
        <v>-1050</v>
      </c>
      <c r="L23" s="3">
        <f t="shared" si="5"/>
        <v>-1050</v>
      </c>
      <c r="M23" s="3">
        <f t="shared" si="5"/>
        <v>-1050</v>
      </c>
      <c r="N23" s="3">
        <f t="shared" si="5"/>
        <v>-1050</v>
      </c>
      <c r="O23" s="3">
        <f t="shared" si="1"/>
        <v>-12600</v>
      </c>
      <c r="Q23" s="4"/>
    </row>
    <row r="24" spans="2:17" x14ac:dyDescent="0.2">
      <c r="B24" t="s">
        <v>43</v>
      </c>
      <c r="C24" s="3">
        <f>-$G$12</f>
        <v>-3176</v>
      </c>
      <c r="D24" s="3">
        <f t="shared" ref="D24:N24" si="6">-$G$12</f>
        <v>-3176</v>
      </c>
      <c r="E24" s="3">
        <f t="shared" si="6"/>
        <v>-3176</v>
      </c>
      <c r="F24" s="3">
        <f t="shared" si="6"/>
        <v>-3176</v>
      </c>
      <c r="G24" s="3">
        <f t="shared" si="6"/>
        <v>-3176</v>
      </c>
      <c r="H24" s="3">
        <f t="shared" si="6"/>
        <v>-3176</v>
      </c>
      <c r="I24" s="3">
        <f t="shared" si="6"/>
        <v>-3176</v>
      </c>
      <c r="J24" s="3">
        <f t="shared" si="6"/>
        <v>-3176</v>
      </c>
      <c r="K24" s="3">
        <f t="shared" si="6"/>
        <v>-3176</v>
      </c>
      <c r="L24" s="3">
        <f t="shared" si="6"/>
        <v>-3176</v>
      </c>
      <c r="M24" s="3">
        <f t="shared" si="6"/>
        <v>-3176</v>
      </c>
      <c r="N24" s="3">
        <f t="shared" si="6"/>
        <v>-3176</v>
      </c>
      <c r="O24" s="3">
        <f t="shared" si="1"/>
        <v>-38112</v>
      </c>
      <c r="Q24" s="4"/>
    </row>
    <row r="25" spans="2:17" x14ac:dyDescent="0.2">
      <c r="B25" s="13" t="s">
        <v>44</v>
      </c>
      <c r="C25" s="14">
        <f>+SUM(C18:C24)</f>
        <v>14449</v>
      </c>
      <c r="D25" s="14">
        <f t="shared" ref="D25:O25" si="7">+SUM(D18:D24)</f>
        <v>14599</v>
      </c>
      <c r="E25" s="14">
        <f t="shared" si="7"/>
        <v>14599</v>
      </c>
      <c r="F25" s="14">
        <f t="shared" si="7"/>
        <v>14599</v>
      </c>
      <c r="G25" s="14">
        <f t="shared" si="7"/>
        <v>14599</v>
      </c>
      <c r="H25" s="14">
        <f t="shared" si="7"/>
        <v>14599</v>
      </c>
      <c r="I25" s="14">
        <f t="shared" si="7"/>
        <v>4099</v>
      </c>
      <c r="J25" s="14">
        <f t="shared" si="7"/>
        <v>14599</v>
      </c>
      <c r="K25" s="14">
        <f t="shared" si="7"/>
        <v>14599</v>
      </c>
      <c r="L25" s="14">
        <f t="shared" si="7"/>
        <v>14599</v>
      </c>
      <c r="M25" s="14">
        <f t="shared" si="7"/>
        <v>14599</v>
      </c>
      <c r="N25" s="14">
        <f t="shared" si="7"/>
        <v>14599</v>
      </c>
      <c r="O25" s="14">
        <f t="shared" si="7"/>
        <v>164538</v>
      </c>
      <c r="P25" s="3"/>
      <c r="Q25" s="4"/>
    </row>
    <row r="26" spans="2:17" x14ac:dyDescent="0.2">
      <c r="B26" t="s">
        <v>45</v>
      </c>
      <c r="C26" s="3">
        <f>-C7*G2/12</f>
        <v>-13808.980916666667</v>
      </c>
      <c r="D26" s="3">
        <f>+C26</f>
        <v>-13808.980916666667</v>
      </c>
      <c r="E26" s="3">
        <f t="shared" ref="E26:N26" si="8">+D26</f>
        <v>-13808.980916666667</v>
      </c>
      <c r="F26" s="3">
        <f t="shared" si="8"/>
        <v>-13808.980916666667</v>
      </c>
      <c r="G26" s="3">
        <f t="shared" si="8"/>
        <v>-13808.980916666667</v>
      </c>
      <c r="H26" s="3">
        <f t="shared" si="8"/>
        <v>-13808.980916666667</v>
      </c>
      <c r="I26" s="3">
        <f t="shared" si="8"/>
        <v>-13808.980916666667</v>
      </c>
      <c r="J26" s="3">
        <f t="shared" si="8"/>
        <v>-13808.980916666667</v>
      </c>
      <c r="K26" s="3">
        <f t="shared" si="8"/>
        <v>-13808.980916666667</v>
      </c>
      <c r="L26" s="3">
        <f t="shared" si="8"/>
        <v>-13808.980916666667</v>
      </c>
      <c r="M26" s="3">
        <f t="shared" si="8"/>
        <v>-13808.980916666667</v>
      </c>
      <c r="N26" s="3">
        <f t="shared" si="8"/>
        <v>-13808.980916666667</v>
      </c>
      <c r="O26" s="3">
        <f>+SUM(C26:N26)</f>
        <v>-165707.77100000001</v>
      </c>
      <c r="Q26" s="4"/>
    </row>
    <row r="27" spans="2:17" x14ac:dyDescent="0.2">
      <c r="B27" s="13" t="s">
        <v>46</v>
      </c>
      <c r="C27" s="14">
        <f>+C25+C26</f>
        <v>640.01908333333267</v>
      </c>
      <c r="D27" s="14">
        <f t="shared" ref="D27:O27" si="9">+D25+D26</f>
        <v>790.01908333333267</v>
      </c>
      <c r="E27" s="14">
        <f t="shared" si="9"/>
        <v>790.01908333333267</v>
      </c>
      <c r="F27" s="14">
        <f t="shared" si="9"/>
        <v>790.01908333333267</v>
      </c>
      <c r="G27" s="14">
        <f t="shared" si="9"/>
        <v>790.01908333333267</v>
      </c>
      <c r="H27" s="14">
        <f t="shared" si="9"/>
        <v>790.01908333333267</v>
      </c>
      <c r="I27" s="14">
        <f t="shared" si="9"/>
        <v>-9709.9809166666673</v>
      </c>
      <c r="J27" s="14">
        <f t="shared" si="9"/>
        <v>790.01908333333267</v>
      </c>
      <c r="K27" s="14">
        <f t="shared" si="9"/>
        <v>790.01908333333267</v>
      </c>
      <c r="L27" s="14">
        <f t="shared" si="9"/>
        <v>790.01908333333267</v>
      </c>
      <c r="M27" s="14">
        <f t="shared" si="9"/>
        <v>790.01908333333267</v>
      </c>
      <c r="N27" s="14">
        <f t="shared" si="9"/>
        <v>790.01908333333267</v>
      </c>
      <c r="O27" s="14">
        <f t="shared" si="9"/>
        <v>-1169.7710000000079</v>
      </c>
      <c r="P27" s="3"/>
      <c r="Q27" s="4"/>
    </row>
    <row r="28" spans="2:17" x14ac:dyDescent="0.2">
      <c r="B28" t="s">
        <v>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Q28" s="4"/>
    </row>
    <row r="29" spans="2:17" x14ac:dyDescent="0.2">
      <c r="B29" s="13" t="s">
        <v>47</v>
      </c>
      <c r="C29" s="14">
        <f>+C27+C28</f>
        <v>640.01908333333267</v>
      </c>
      <c r="D29" s="14">
        <f t="shared" ref="D29:O29" si="10">+D27+D28</f>
        <v>790.01908333333267</v>
      </c>
      <c r="E29" s="14">
        <f t="shared" si="10"/>
        <v>790.01908333333267</v>
      </c>
      <c r="F29" s="14">
        <f t="shared" si="10"/>
        <v>790.01908333333267</v>
      </c>
      <c r="G29" s="14">
        <f t="shared" si="10"/>
        <v>790.01908333333267</v>
      </c>
      <c r="H29" s="14">
        <f t="shared" si="10"/>
        <v>790.01908333333267</v>
      </c>
      <c r="I29" s="14">
        <f t="shared" si="10"/>
        <v>-9709.9809166666673</v>
      </c>
      <c r="J29" s="14">
        <f t="shared" si="10"/>
        <v>790.01908333333267</v>
      </c>
      <c r="K29" s="14">
        <f t="shared" si="10"/>
        <v>790.01908333333267</v>
      </c>
      <c r="L29" s="14">
        <f t="shared" si="10"/>
        <v>790.01908333333267</v>
      </c>
      <c r="M29" s="14">
        <f t="shared" si="10"/>
        <v>790.01908333333267</v>
      </c>
      <c r="N29" s="14">
        <f t="shared" si="10"/>
        <v>790.01908333333267</v>
      </c>
      <c r="O29" s="14">
        <f t="shared" si="10"/>
        <v>-1169.7710000000079</v>
      </c>
      <c r="Q29" s="4"/>
    </row>
    <row r="30" spans="2:17" x14ac:dyDescent="0.2">
      <c r="Q30" s="4"/>
    </row>
    <row r="31" spans="2:17" x14ac:dyDescent="0.2">
      <c r="Q31" s="4"/>
    </row>
    <row r="33" spans="10:10" x14ac:dyDescent="0.2">
      <c r="J33" s="3"/>
    </row>
  </sheetData>
  <mergeCells count="2">
    <mergeCell ref="K2:O4"/>
    <mergeCell ref="M7:O15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Bolig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Kjell Magne Sunde</dc:creator>
  <cp:lastModifiedBy>Olve Grønås Birkeland</cp:lastModifiedBy>
  <dcterms:created xsi:type="dcterms:W3CDTF">2023-09-20T21:01:57Z</dcterms:created>
  <dcterms:modified xsi:type="dcterms:W3CDTF">2026-03-17T14:00:55Z</dcterms:modified>
</cp:coreProperties>
</file>